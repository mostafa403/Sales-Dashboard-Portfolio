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pivotCache/pivotCacheDefinition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C:\Users\hamad\Desktop\"/>
    </mc:Choice>
  </mc:AlternateContent>
  <xr:revisionPtr revIDLastSave="0" documentId="13_ncr:1_{D1CED101-83EF-4F64-9749-CC49EC16BF80}" xr6:coauthVersionLast="47" xr6:coauthVersionMax="47" xr10:uidLastSave="{00000000-0000-0000-0000-000000000000}"/>
  <bookViews>
    <workbookView xWindow="-120" yWindow="-120" windowWidth="20730" windowHeight="11160" activeTab="1" xr2:uid="{00000000-000D-0000-FFFF-FFFF00000000}"/>
  </bookViews>
  <sheets>
    <sheet name="Raw_Data" sheetId="1" r:id="rId1"/>
    <sheet name="Pivot_Tables" sheetId="5" r:id="rId2"/>
    <sheet name="Dashboard_Logic" sheetId="7" r:id="rId3"/>
  </sheets>
  <definedNames>
    <definedName name="_xlcn.WorksheetConnection_ورقةعملMicrosoftExcelجديد.xlsxالجدول11" hidden="1">الجدول1[]</definedName>
    <definedName name="_‏‏الخط_الزمني_التاريخ">#N/A</definedName>
    <definedName name="مقسم_طريقة_العرض_الموقع_الجغرافي">#N/A</definedName>
  </definedNames>
  <calcPr calcId="191029"/>
  <pivotCaches>
    <pivotCache cacheId="198" r:id="rId4"/>
    <pivotCache cacheId="201" r:id="rId5"/>
  </pivotCaches>
  <extLst>
    <ext xmlns:x14="http://schemas.microsoft.com/office/spreadsheetml/2009/9/main" uri="{876F7934-8845-4945-9796-88D515C7AA90}">
      <x14:pivotCaches>
        <pivotCache cacheId="137"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4" r:id="rId8"/>
      </x15:timelineCachePivotCaches>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الجدول1" name="الجدول1" connection="WorksheetConnection_ورقة عمل Microsoft Excel جديد.xlsx!الجدول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7" l="1"/>
  <c r="B2" i="7"/>
  <c r="B4" i="7" s="1"/>
  <c r="G3" i="1"/>
  <c r="G4" i="1"/>
  <c r="G5" i="1"/>
  <c r="G6" i="1"/>
  <c r="G7" i="1"/>
  <c r="G8" i="1"/>
  <c r="G9" i="1"/>
  <c r="G10" i="1"/>
  <c r="G11" i="1"/>
  <c r="G12" i="1"/>
  <c r="G13" i="1"/>
  <c r="G14" i="1"/>
  <c r="G15" i="1"/>
  <c r="G16" i="1"/>
  <c r="G17" i="1"/>
  <c r="G18" i="1"/>
  <c r="G19"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A89BFB-07BA-463E-BC55-4495D77770BB}" keepAlive="1" name="ThisWorkbookDataModel" description="نموذج البيانات"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EE9B27-C95D-464F-9436-C4006F9CF92C}" name="WorksheetConnection_ورقة عمل Microsoft Excel جديد.xlsx!الجدول1" type="102" refreshedVersion="8" minRefreshableVersion="5">
    <extLst>
      <ext xmlns:x15="http://schemas.microsoft.com/office/spreadsheetml/2010/11/main" uri="{DE250136-89BD-433C-8126-D09CA5730AF9}">
        <x15:connection id="الجدول1" autoDelete="1">
          <x15:rangePr sourceName="_xlcn.WorksheetConnection_ورقةعملMicrosoftExcelجديد.xlsxالجدول11"/>
        </x15:connection>
      </ext>
    </extLst>
  </connection>
</connections>
</file>

<file path=xl/sharedStrings.xml><?xml version="1.0" encoding="utf-8"?>
<sst xmlns="http://schemas.openxmlformats.org/spreadsheetml/2006/main" count="118" uniqueCount="63">
  <si>
    <t>رقم المعاملة</t>
  </si>
  <si>
    <t>التاريخ</t>
  </si>
  <si>
    <t>المنتج</t>
  </si>
  <si>
    <t>الفئة</t>
  </si>
  <si>
    <t>سعر الوحدة</t>
  </si>
  <si>
    <t>الكمية</t>
  </si>
  <si>
    <t>إجمالي البيع</t>
  </si>
  <si>
    <t>القناة البيعية</t>
  </si>
  <si>
    <t>الموقع الجغرافي</t>
  </si>
  <si>
    <t>TS-1001</t>
  </si>
  <si>
    <t>TS-1002</t>
  </si>
  <si>
    <t>TS-1003</t>
  </si>
  <si>
    <t>TS-1004</t>
  </si>
  <si>
    <t>TS-1005</t>
  </si>
  <si>
    <t>TS-1006</t>
  </si>
  <si>
    <t>TS-1007</t>
  </si>
  <si>
    <t>TS-1008</t>
  </si>
  <si>
    <t>TS-1009</t>
  </si>
  <si>
    <t>TS-1010</t>
  </si>
  <si>
    <t>TS-1011</t>
  </si>
  <si>
    <t>TS-1012</t>
  </si>
  <si>
    <t>TS-1013</t>
  </si>
  <si>
    <t>TS-1014</t>
  </si>
  <si>
    <t>TS-1015</t>
  </si>
  <si>
    <t>TS-1016</t>
  </si>
  <si>
    <t>TS-1017</t>
  </si>
  <si>
    <t>TS-1018</t>
  </si>
  <si>
    <t>iPhone 15 Pro</t>
  </si>
  <si>
    <t>هواتف</t>
  </si>
  <si>
    <t>الموقع الإلكتروني</t>
  </si>
  <si>
    <t>القاهرة</t>
  </si>
  <si>
    <t>AirPods Pro 2</t>
  </si>
  <si>
    <t>إكسسوارات</t>
  </si>
  <si>
    <t>تطبيق الجوال</t>
  </si>
  <si>
    <t>الإسكندرية</t>
  </si>
  <si>
    <t>MacBook Air M3</t>
  </si>
  <si>
    <t>لابتوبات</t>
  </si>
  <si>
    <t>الجيزة</t>
  </si>
  <si>
    <t>Samsung S24 Ultra</t>
  </si>
  <si>
    <t>iPad Pro M2</t>
  </si>
  <si>
    <t>أجهزة لوحية</t>
  </si>
  <si>
    <t>المنصورة</t>
  </si>
  <si>
    <t>Apple Watch S9</t>
  </si>
  <si>
    <t>طنطا</t>
  </si>
  <si>
    <t>Dell XPS 13</t>
  </si>
  <si>
    <t>بورسعيد</t>
  </si>
  <si>
    <t>iPad Air</t>
  </si>
  <si>
    <t>iPhone 15</t>
  </si>
  <si>
    <t>Sony WH-1000XM5</t>
  </si>
  <si>
    <t>MacBook Pro 14</t>
  </si>
  <si>
    <t>Samsung Tab S9</t>
  </si>
  <si>
    <t>المنيا</t>
  </si>
  <si>
    <t>الإجمالي الكلي</t>
  </si>
  <si>
    <t>نسبة المبيعات</t>
  </si>
  <si>
    <t>المؤشر الأساسي</t>
  </si>
  <si>
    <t>القيمة</t>
  </si>
  <si>
    <t>إجمالي الأرباح</t>
  </si>
  <si>
    <t>عدد الطلبات</t>
  </si>
  <si>
    <t>متوسط الطلب (AOV)</t>
  </si>
  <si>
    <t>معدل التحويل (Target)</t>
  </si>
  <si>
    <t>‏‏مجموع إجمالي البيع</t>
  </si>
  <si>
    <t>قناة البيع</t>
  </si>
  <si>
    <t>المبيعات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</si>
</sst>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ج.م.‏&quot;_-;\-* #,##0.00\ &quot;ج.م.‏&quot;_-;_-* &quot;-&quot;??\ &quot;ج.م.‏&quot;_-;_-@_-"/>
    <numFmt numFmtId="168" formatCode="_-[$$-409]* #,##0.00_ ;_-[$$-409]* \-#,##0.00\ ;_-[$$-409]* &quot;-&quot;??_ ;_-@_ "/>
  </numFmts>
  <fonts count="4" x14ac:knownFonts="1">
    <font>
      <sz val="11"/>
      <color theme="1"/>
      <name val="Arial"/>
      <family val="2"/>
      <scheme val="minor"/>
    </font>
    <font>
      <sz val="11"/>
      <color theme="1"/>
      <name val="Arial"/>
      <family val="2"/>
      <scheme val="minor"/>
    </font>
    <font>
      <sz val="8"/>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pivotButton="1"/>
    <xf numFmtId="0" fontId="0" fillId="0" borderId="0" xfId="0" applyAlignment="1">
      <alignment horizontal="right"/>
    </xf>
    <xf numFmtId="10" fontId="0" fillId="0" borderId="0" xfId="0" applyNumberFormat="1"/>
    <xf numFmtId="0" fontId="3" fillId="0" borderId="0" xfId="0" applyFont="1" applyAlignment="1">
      <alignment vertical="center" wrapText="1"/>
    </xf>
    <xf numFmtId="168" fontId="3" fillId="0" borderId="0" xfId="1" applyNumberFormat="1" applyFont="1" applyAlignment="1">
      <alignment horizontal="center" vertical="center" wrapText="1"/>
    </xf>
    <xf numFmtId="168" fontId="0" fillId="0" borderId="0" xfId="1" applyNumberFormat="1" applyFont="1"/>
    <xf numFmtId="168" fontId="0" fillId="0" borderId="0" xfId="0" applyNumberFormat="1"/>
    <xf numFmtId="168" fontId="0" fillId="0" borderId="0" xfId="1" applyNumberFormat="1" applyFont="1" applyAlignment="1">
      <alignment horizontal="center" vertical="center" wrapText="1"/>
    </xf>
    <xf numFmtId="10" fontId="0" fillId="0" borderId="0" xfId="0" applyNumberFormat="1" applyAlignment="1">
      <alignment horizontal="center" vertical="center" wrapText="1"/>
    </xf>
    <xf numFmtId="0" fontId="0" fillId="0" borderId="0" xfId="0" applyAlignment="1">
      <alignment horizontal="center"/>
    </xf>
    <xf numFmtId="14" fontId="0" fillId="0" borderId="0" xfId="0" applyNumberFormat="1" applyAlignment="1">
      <alignment horizontal="center" vertical="center" wrapText="1"/>
    </xf>
  </cellXfs>
  <cellStyles count="2">
    <cellStyle name="Currency" xfId="1" builtinId="4"/>
    <cellStyle name="عادي" xfId="0" builtinId="0"/>
  </cellStyles>
  <dxfs count="118">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8" formatCode="_-[$$-409]* #,##0.00_ ;_-[$$-409]* \-#,##0.00\ ;_-[$$-409]* &quot;-&quot;??_ ;_-@_ "/>
      <alignment horizontal="center" vertical="center" textRotation="0" wrapText="1" indent="0" justifyLastLine="0" shrinkToFit="0" readingOrder="0"/>
    </dxf>
    <dxf>
      <alignment horizontal="center" vertical="center" textRotation="0" wrapText="1" indent="0" justifyLastLine="0" shrinkToFit="0" readingOrder="0"/>
    </dxf>
    <dxf>
      <numFmt numFmtId="168" formatCode="_-[$$-409]* #,##0.00_ ;_-[$$-409]* \-#,##0.00\ ;_-[$$-409]* &quot;-&quot;??_ ;_-@_ "/>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1" indent="0" justifyLastLine="0" shrinkToFit="0" readingOrder="0"/>
    </dxf>
    <dxf>
      <numFmt numFmtId="168" formatCode="_-[$$-409]* #,##0.00_ ;_-[$$-409]* \-#,##0.00\ ;_-[$$-409]* &quot;-&quot;??_ ;_-@_ "/>
    </dxf>
    <dxf>
      <numFmt numFmtId="168" formatCode="_-[$$-409]* #,##0.00_ ;_-[$$-409]* \-#,##0.00\ ;_-[$$-409]* &quot;-&quot;??_ ;_-@_ "/>
    </dxf>
    <dxf>
      <font>
        <b/>
        <i val="0"/>
        <strike val="0"/>
        <condense val="0"/>
        <extend val="0"/>
        <outline val="0"/>
        <shadow val="0"/>
        <u val="none"/>
        <vertAlign val="baseline"/>
        <sz val="11"/>
        <color theme="1"/>
        <name val="Arial"/>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rial"/>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[ورقة عمل Microsoft Excel جديد.xlsx]Pivot_Tables!PivotTable3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glow rad="304800">
                <a:schemeClr val="accent1">
                  <a:alpha val="40000"/>
                </a:schemeClr>
              </a:glow>
              <a:outerShdw blurRad="50800" dist="50800" dir="5400000" sx="59000" sy="59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Pivot_Tables!$B$3</c:f>
              <c:strCache>
                <c:ptCount val="1"/>
                <c:pt idx="0">
                  <c:v>‏‏مجموع إجمالي البيع</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a:glow rad="304800">
                  <a:schemeClr val="accent1">
                    <a:alpha val="40000"/>
                  </a:schemeClr>
                </a:glow>
                <a:outerShdw blurRad="50800" dist="50800" dir="5400000" sx="59000" sy="59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Pivot_Tables!$A$4:$A$8</c:f>
              <c:strCache>
                <c:ptCount val="4"/>
                <c:pt idx="0">
                  <c:v>أجهزة لوحية</c:v>
                </c:pt>
                <c:pt idx="1">
                  <c:v>إكسسوارات</c:v>
                </c:pt>
                <c:pt idx="2">
                  <c:v>لابتوبات</c:v>
                </c:pt>
                <c:pt idx="3">
                  <c:v>هواتف</c:v>
                </c:pt>
              </c:strCache>
            </c:strRef>
          </c:cat>
          <c:val>
            <c:numRef>
              <c:f>Pivot_Tables!$B$4:$B$8</c:f>
              <c:numCache>
                <c:formatCode>_-[$$-409]* #,##0.00_ ;_-[$$-409]* \-#,##0.00\ ;_-[$$-409]* "-"??_ ;_-@_ </c:formatCode>
                <c:ptCount val="4"/>
                <c:pt idx="0">
                  <c:v>2300</c:v>
                </c:pt>
                <c:pt idx="1">
                  <c:v>3550</c:v>
                </c:pt>
                <c:pt idx="2">
                  <c:v>7900</c:v>
                </c:pt>
                <c:pt idx="3">
                  <c:v>7600</c:v>
                </c:pt>
              </c:numCache>
            </c:numRef>
          </c:val>
          <c:extLst>
            <c:ext xmlns:c16="http://schemas.microsoft.com/office/drawing/2014/chart" uri="{C3380CC4-5D6E-409C-BE32-E72D297353CC}">
              <c16:uniqueId val="{00000005-B5D1-464F-9720-47B408E1048E}"/>
            </c:ext>
          </c:extLst>
        </c:ser>
        <c:ser>
          <c:idx val="1"/>
          <c:order val="1"/>
          <c:tx>
            <c:strRef>
              <c:f>Pivot_Tables!$C$3</c:f>
              <c:strCache>
                <c:ptCount val="1"/>
                <c:pt idx="0">
                  <c:v>نسبة المبيعات</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Pivot_Tables!$A$4:$A$8</c:f>
              <c:strCache>
                <c:ptCount val="4"/>
                <c:pt idx="0">
                  <c:v>أجهزة لوحية</c:v>
                </c:pt>
                <c:pt idx="1">
                  <c:v>إكسسوارات</c:v>
                </c:pt>
                <c:pt idx="2">
                  <c:v>لابتوبات</c:v>
                </c:pt>
                <c:pt idx="3">
                  <c:v>هواتف</c:v>
                </c:pt>
              </c:strCache>
            </c:strRef>
          </c:cat>
          <c:val>
            <c:numRef>
              <c:f>Pivot_Tables!$C$4:$C$8</c:f>
              <c:numCache>
                <c:formatCode>0.00%</c:formatCode>
                <c:ptCount val="4"/>
                <c:pt idx="0">
                  <c:v>0.10772833723653395</c:v>
                </c:pt>
                <c:pt idx="1">
                  <c:v>0.16627634660421545</c:v>
                </c:pt>
                <c:pt idx="2">
                  <c:v>0.37002341920374709</c:v>
                </c:pt>
                <c:pt idx="3">
                  <c:v>0.35597189695550352</c:v>
                </c:pt>
              </c:numCache>
            </c:numRef>
          </c:val>
          <c:extLst>
            <c:ext xmlns:c16="http://schemas.microsoft.com/office/drawing/2014/chart" uri="{C3380CC4-5D6E-409C-BE32-E72D297353CC}">
              <c16:uniqueId val="{00000006-B5D1-464F-9720-47B408E1048E}"/>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[ورقة عمل Microsoft Excel جديد.xlsx]Pivot_Tables!PivotTable4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Pivot_Tables!$B$10</c:f>
              <c:strCache>
                <c:ptCount val="1"/>
                <c:pt idx="0">
                  <c:v>الإجمالي</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Pivot_Tables!$A$11:$A$13</c:f>
              <c:strCache>
                <c:ptCount val="2"/>
                <c:pt idx="0">
                  <c:v>الموقع الإلكتروني</c:v>
                </c:pt>
                <c:pt idx="1">
                  <c:v>تطبيق الجوال</c:v>
                </c:pt>
              </c:strCache>
            </c:strRef>
          </c:cat>
          <c:val>
            <c:numRef>
              <c:f>Pivot_Tables!$B$11:$B$13</c:f>
              <c:numCache>
                <c:formatCode>_-[$$-409]* #,##0.00_ ;_-[$$-409]* \-#,##0.00\ ;_-[$$-409]* "-"??_ ;_-@_ </c:formatCode>
                <c:ptCount val="2"/>
                <c:pt idx="0">
                  <c:v>11050</c:v>
                </c:pt>
                <c:pt idx="1">
                  <c:v>10300</c:v>
                </c:pt>
              </c:numCache>
            </c:numRef>
          </c:val>
          <c:extLst>
            <c:ext xmlns:c16="http://schemas.microsoft.com/office/drawing/2014/chart" uri="{C3380CC4-5D6E-409C-BE32-E72D297353CC}">
              <c16:uniqueId val="{00000003-1928-47B1-BF5E-A998CAB4425E}"/>
            </c:ext>
          </c:extLst>
        </c:ser>
        <c:dLbls>
          <c:showLegendKey val="0"/>
          <c:showVal val="0"/>
          <c:showCatName val="0"/>
          <c:showSerName val="0"/>
          <c:showPercent val="0"/>
          <c:showBubbleSize val="0"/>
        </c:dLbls>
        <c:gapWidth val="150"/>
        <c:axId val="340594639"/>
        <c:axId val="340598479"/>
      </c:barChart>
      <c:catAx>
        <c:axId val="34059463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40598479"/>
        <c:crosses val="autoZero"/>
        <c:auto val="1"/>
        <c:lblAlgn val="ctr"/>
        <c:lblOffset val="100"/>
        <c:noMultiLvlLbl val="0"/>
      </c:catAx>
      <c:valAx>
        <c:axId val="340598479"/>
        <c:scaling>
          <c:orientation val="minMax"/>
        </c:scaling>
        <c:delete val="0"/>
        <c:axPos val="r"/>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4059463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1562099</xdr:colOff>
      <xdr:row>8</xdr:row>
      <xdr:rowOff>95250</xdr:rowOff>
    </xdr:from>
    <xdr:to>
      <xdr:col>4</xdr:col>
      <xdr:colOff>1514475</xdr:colOff>
      <xdr:row>21</xdr:row>
      <xdr:rowOff>19051</xdr:rowOff>
    </xdr:to>
    <mc:AlternateContent xmlns:mc="http://schemas.openxmlformats.org/markup-compatibility/2006">
      <mc:Choice xmlns:a14="http://schemas.microsoft.com/office/drawing/2010/main" Requires="a14">
        <xdr:graphicFrame macro="">
          <xdr:nvGraphicFramePr>
            <xdr:cNvPr id="2" name="الموقع الجغرافي">
              <a:extLst>
                <a:ext uri="{FF2B5EF4-FFF2-40B4-BE49-F238E27FC236}">
                  <a16:creationId xmlns:a16="http://schemas.microsoft.com/office/drawing/2014/main" id="{E18C5EBA-C86B-D457-A075-FC074E7ED590}"/>
                </a:ext>
              </a:extLst>
            </xdr:cNvPr>
            <xdr:cNvGraphicFramePr/>
          </xdr:nvGraphicFramePr>
          <xdr:xfrm>
            <a:off x="0" y="0"/>
            <a:ext cx="0" cy="0"/>
          </xdr:xfrm>
          <a:graphic>
            <a:graphicData uri="http://schemas.microsoft.com/office/drawing/2010/slicer">
              <sle:slicer xmlns:sle="http://schemas.microsoft.com/office/drawing/2010/slicer" name="الموقع الجغرافي"/>
            </a:graphicData>
          </a:graphic>
        </xdr:graphicFrame>
      </mc:Choice>
      <mc:Fallback>
        <xdr:sp macro="" textlink="">
          <xdr:nvSpPr>
            <xdr:cNvPr id="0" name=""/>
            <xdr:cNvSpPr>
              <a:spLocks noTextEdit="1"/>
            </xdr:cNvSpPr>
          </xdr:nvSpPr>
          <xdr:spPr>
            <a:xfrm>
              <a:off x="27145878525" y="1543050"/>
              <a:ext cx="1609726" cy="2276476"/>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3</xdr:col>
      <xdr:colOff>323850</xdr:colOff>
      <xdr:row>0</xdr:row>
      <xdr:rowOff>28574</xdr:rowOff>
    </xdr:from>
    <xdr:to>
      <xdr:col>8</xdr:col>
      <xdr:colOff>800100</xdr:colOff>
      <xdr:row>8</xdr:row>
      <xdr:rowOff>19049</xdr:rowOff>
    </xdr:to>
    <mc:AlternateContent xmlns:mc="http://schemas.openxmlformats.org/markup-compatibility/2006">
      <mc:Choice xmlns:tsle="http://schemas.microsoft.com/office/drawing/2012/timeslicer" Requires="tsle">
        <xdr:graphicFrame macro="">
          <xdr:nvGraphicFramePr>
            <xdr:cNvPr id="3" name="التاريخ">
              <a:extLst>
                <a:ext uri="{FF2B5EF4-FFF2-40B4-BE49-F238E27FC236}">
                  <a16:creationId xmlns:a16="http://schemas.microsoft.com/office/drawing/2014/main" id="{20CCB5FD-5F8A-1B2E-F95C-5D3CC8225332}"/>
                </a:ext>
              </a:extLst>
            </xdr:cNvPr>
            <xdr:cNvGraphicFramePr/>
          </xdr:nvGraphicFramePr>
          <xdr:xfrm>
            <a:off x="0" y="0"/>
            <a:ext cx="0" cy="0"/>
          </xdr:xfrm>
          <a:graphic>
            <a:graphicData uri="http://schemas.microsoft.com/office/drawing/2012/timeslicer">
              <tsle:timeslicer xmlns:tsle="http://schemas.microsoft.com/office/drawing/2012/timeslicer" name="التاريخ"/>
            </a:graphicData>
          </a:graphic>
        </xdr:graphicFrame>
      </mc:Choice>
      <mc:Fallback>
        <xdr:sp macro="" textlink="">
          <xdr:nvSpPr>
            <xdr:cNvPr id="0" name=""/>
            <xdr:cNvSpPr>
              <a:spLocks noTextEdit="1"/>
            </xdr:cNvSpPr>
          </xdr:nvSpPr>
          <xdr:spPr>
            <a:xfrm>
              <a:off x="27139963500" y="28574"/>
              <a:ext cx="8763000" cy="1438275"/>
            </a:xfrm>
            <a:prstGeom prst="rect">
              <a:avLst/>
            </a:prstGeom>
            <a:solidFill>
              <a:prstClr val="white"/>
            </a:solidFill>
            <a:ln w="1">
              <a:solidFill>
                <a:prstClr val="green"/>
              </a:solidFill>
            </a:ln>
          </xdr:spPr>
          <xdr:txBody>
            <a:bodyPr vertOverflow="clip" horzOverflow="clip"/>
            <a:lstStyle/>
            <a:p>
              <a:r>
                <a:rPr lang="ar-EG" sz="1100"/>
                <a:t>الخط الزمني: يعمل في Excel 2013 أو إصدار أعلى. عدم النقل أو تغيير الحجم.</a:t>
              </a:r>
            </a:p>
          </xdr:txBody>
        </xdr:sp>
      </mc:Fallback>
    </mc:AlternateContent>
    <xdr:clientData/>
  </xdr:twoCellAnchor>
  <xdr:twoCellAnchor>
    <xdr:from>
      <xdr:col>5</xdr:col>
      <xdr:colOff>885825</xdr:colOff>
      <xdr:row>8</xdr:row>
      <xdr:rowOff>61912</xdr:rowOff>
    </xdr:from>
    <xdr:to>
      <xdr:col>8</xdr:col>
      <xdr:colOff>804863</xdr:colOff>
      <xdr:row>23</xdr:row>
      <xdr:rowOff>57150</xdr:rowOff>
    </xdr:to>
    <xdr:graphicFrame macro="">
      <xdr:nvGraphicFramePr>
        <xdr:cNvPr id="5" name="مخطط 4">
          <a:extLst>
            <a:ext uri="{FF2B5EF4-FFF2-40B4-BE49-F238E27FC236}">
              <a16:creationId xmlns:a16="http://schemas.microsoft.com/office/drawing/2014/main" id="{24BBF64A-7977-9A1A-5875-6D670A103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866775</xdr:colOff>
      <xdr:row>24</xdr:row>
      <xdr:rowOff>14287</xdr:rowOff>
    </xdr:from>
    <xdr:to>
      <xdr:col>8</xdr:col>
      <xdr:colOff>819150</xdr:colOff>
      <xdr:row>39</xdr:row>
      <xdr:rowOff>42862</xdr:rowOff>
    </xdr:to>
    <xdr:graphicFrame macro="">
      <xdr:nvGraphicFramePr>
        <xdr:cNvPr id="6" name="مخطط 5">
          <a:extLst>
            <a:ext uri="{FF2B5EF4-FFF2-40B4-BE49-F238E27FC236}">
              <a16:creationId xmlns:a16="http://schemas.microsoft.com/office/drawing/2014/main" id="{63C33401-B851-ED65-785B-6AEFAE1F7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hamada" refreshedDate="46069.157186111108" backgroundQuery="1" createdVersion="8" refreshedVersion="8" minRefreshableVersion="3" recordCount="0" supportSubquery="1" supportAdvancedDrill="1" xr:uid="{C248598A-EDA9-4ABD-83AF-022CB4251834}">
  <cacheSource type="external" connectionId="1"/>
  <cacheFields count="3">
    <cacheField name="[Measures].[‏‏مجموع إجمالي البيع]" caption="‏‏مجموع إجمالي البيع" numFmtId="0" hierarchy="11" level="32767"/>
    <cacheField name="[مجموعة1].[الجدول1].[الفئة].[الفئة]" caption="الفئة" numFmtId="0" hierarchy="12">
      <sharedItems count="4">
        <s v="أجهزة لوحية"/>
        <s v="إكسسوارات"/>
        <s v="لابتوبات"/>
        <s v="هواتف"/>
      </sharedItems>
    </cacheField>
    <cacheField name="Unsupported0" numFmtId="0" hierarchy="13" level="32767">
      <extLst>
        <ext xmlns:x14="http://schemas.microsoft.com/office/spreadsheetml/2009/9/main" uri="{63CAB8AC-B538-458d-9737-405883B0398D}">
          <x14:cacheField ignore="1"/>
        </ext>
      </extLst>
    </cacheField>
  </cacheFields>
  <cacheHierarchies count="14">
    <cacheHierarchy uniqueName="[الجدول1].[رقم المعاملة]" caption="رقم المعاملة" attribute="1" defaultMemberUniqueName="[الجدول1].[رقم المعاملة].[All]" allUniqueName="[الجدول1].[رقم المعاملة].[All]" dimensionUniqueName="[الجدول1]" displayFolder="" count="2" memberValueDatatype="130" unbalanced="0"/>
    <cacheHierarchy uniqueName="[الجدول1].[التاريخ]" caption="التاريخ" attribute="1" time="1" defaultMemberUniqueName="[الجدول1].[التاريخ].[All]" allUniqueName="[الجدول1].[التاريخ].[All]" dimensionUniqueName="[الجدول1]" displayFolder="" count="2" memberValueDatatype="7" unbalanced="0"/>
    <cacheHierarchy uniqueName="[الجدول1].[المنتج]" caption="المنتج" attribute="1" defaultMemberUniqueName="[الجدول1].[المنتج].[All]" allUniqueName="[الجدول1].[المنتج].[All]" dimensionUniqueName="[الجدول1]" displayFolder="" count="2" memberValueDatatype="130" unbalanced="0"/>
    <cacheHierarchy uniqueName="[الجدول1].[الفئة]" caption="الفئة" attribute="1" defaultMemberUniqueName="[الجدول1].[الفئة].[All]" allUniqueName="[الجدول1].[الفئة].[All]" dimensionUniqueName="[الجدول1]" displayFolder="" count="2" memberValueDatatype="130" unbalanced="0"/>
    <cacheHierarchy uniqueName="[الجدول1].[سعر الوحدة]" caption="سعر الوحدة" attribute="1" defaultMemberUniqueName="[الجدول1].[سعر الوحدة].[All]" allUniqueName="[الجدول1].[سعر الوحدة].[All]" dimensionUniqueName="[الجدول1]" displayFolder="" count="2" memberValueDatatype="20" unbalanced="0"/>
    <cacheHierarchy uniqueName="[الجدول1].[الكمية]" caption="الكمية" attribute="1" defaultMemberUniqueName="[الجدول1].[الكمية].[All]" allUniqueName="[الجدول1].[الكمية].[All]" dimensionUniqueName="[الجدول1]" displayFolder="" count="2" memberValueDatatype="20" unbalanced="0"/>
    <cacheHierarchy uniqueName="[الجدول1].[إجمالي البيع]" caption="إجمالي البيع" attribute="1" defaultMemberUniqueName="[الجدول1].[إجمالي البيع].[All]" allUniqueName="[الجدول1].[إجمالي البيع].[All]" dimensionUniqueName="[الجدول1]" displayFolder="" count="2" memberValueDatatype="20" unbalanced="0"/>
    <cacheHierarchy uniqueName="[الجدول1].[القناة البيعية]" caption="القناة البيعية" attribute="1" defaultMemberUniqueName="[الجدول1].[القناة البيعية].[All]" allUniqueName="[الجدول1].[القناة البيعية].[All]" dimensionUniqueName="[الجدول1]" displayFolder="" count="2" memberValueDatatype="130" unbalanced="0"/>
    <cacheHierarchy uniqueName="[الجدول1].[الموقع الجغرافي]" caption="الموقع الجغرافي" attribute="1" defaultMemberUniqueName="[الجدول1].[الموقع الجغرافي].[All]" allUniqueName="[الجدول1].[الموقع الجغرافي].[All]" dimensionUniqueName="[الجدول1]" displayFolder="" count="2" memberValueDatatype="130" unbalanced="0"/>
    <cacheHierarchy uniqueName="[Measures].[__XL_Count الجدول1]" caption="__XL_Count الجدول1" measure="1" displayFolder="" measureGroup="الجدول1" count="0" hidden="1"/>
    <cacheHierarchy uniqueName="[Measures].[__No measures defined]" caption="__No measures defined" measure="1" displayFolder="" count="0" hidden="1"/>
    <cacheHierarchy uniqueName="[Measures].[‏‏مجموع إجمالي البيع]" caption="‏‏مجموع إجمالي البيع" measure="1" displayFolder="" measureGroup="الجدول1" count="0" oneField="1" hidden="1">
      <fieldsUsage count="1">
        <fieldUsage x="0"/>
      </fieldsUsage>
      <extLst>
        <ext xmlns:x15="http://schemas.microsoft.com/office/spreadsheetml/2010/11/main" uri="{B97F6D7D-B522-45F9-BDA1-12C45D357490}">
          <x15:cacheHierarchy aggregatedColumn="6"/>
        </ext>
      </extLst>
    </cacheHierarchy>
    <cacheHierarchy uniqueName="[مجموعة1]" caption="مجموعة1" set="1" parentSet="3" displayFolder="" count="0" unbalanced="0" unbalancedGroup="0">
      <fieldsUsage count="1">
        <fieldUsage x="1"/>
      </fieldsUsage>
      <extLst>
        <ext xmlns:x14="http://schemas.microsoft.com/office/spreadsheetml/2009/9/main" uri="{8CF416AD-EC4C-4aba-99F5-12A058AE0983}">
          <x14:cacheHierarchy flattenHierarchies="0" hierarchizeDistinct="0">
            <x14:setLevels count="1">
              <x14:setLevel hierarchy="3"/>
            </x14:setLevels>
          </x14:cacheHierarchy>
        </ext>
      </extLst>
    </cacheHierarchy>
    <cacheHierarchy uniqueName="Unsupported0" caption="رقم المعاملة" measure="1" count="0">
      <extLst>
        <ext xmlns:x14="http://schemas.microsoft.com/office/spreadsheetml/2009/9/main" uri="{8CF416AD-EC4C-4aba-99F5-12A058AE0983}">
          <x14:cacheHierarchy ignore="1"/>
        </ext>
      </extLst>
    </cacheHierarchy>
  </cacheHierarchies>
  <kpis count="0"/>
  <calculatedMembers count="1">
    <calculatedMember name="[مجموعة1]" mdx="{([الجدول1].[الفئة].&amp;[أجهزة لوحية]),([الجدول1].[الفئة].&amp;[إكسسوارات]),([الجدول1].[الفئة].&amp;[لابتوبات]),([الجدول1].[الفئة].&amp;[هواتف]),([الجدول1].[الفئة].[All])}" set="1">
      <extLst>
        <ext xmlns:x14="http://schemas.microsoft.com/office/spreadsheetml/2009/9/main" uri="{0C70D0D5-359C-4a49-802D-23BBF952B5CE}">
          <x14:calculatedMember flattenHierarchies="0" hierarchizeDistinct="0">
            <x14:tupleSet rowCount="5">
              <x14:headers>
                <x14:header uniqueName="[الجدول1].[الفئة].[الفئة]" hierarchyName="[الجدول1].[الفئة]"/>
              </x14:headers>
              <x14:rows>
                <x14:row>
                  <x14:rowItem u="[الجدول1].[الفئة].&amp;[أجهزة لوحية]" d="أجهزة لوحية"/>
                </x14:row>
                <x14:row>
                  <x14:rowItem u="[الجدول1].[الفئة].&amp;[إكسسوارات]" d="إكسسوارات"/>
                </x14:row>
                <x14:row>
                  <x14:rowItem u="[الجدول1].[الفئة].&amp;[لابتوبات]" d="لابتوبات"/>
                </x14:row>
                <x14:row>
                  <x14:rowItem u="[الجدول1].[الفئة].&amp;[هواتف]" d="هواتف"/>
                </x14:row>
                <x14:row>
                  <x14:rowItem/>
                </x14:row>
              </x14:rows>
            </x14:tupleSet>
          </x14:calculatedMember>
        </ext>
      </extLst>
    </calculatedMember>
  </calculatedMembers>
  <dimensions count="2">
    <dimension measure="1" name="Measures" uniqueName="[Measures]" caption="Measures"/>
    <dimension name="الجدول1" uniqueName="[الجدول1]" caption="الجدول1"/>
  </dimensions>
  <measureGroups count="1">
    <measureGroup name="الجدول1" caption="الجدول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hamada" refreshedDate="46069.157186574077" backgroundQuery="1" createdVersion="8" refreshedVersion="8" minRefreshableVersion="3" recordCount="0" supportSubquery="1" supportAdvancedDrill="1" xr:uid="{13DF572E-F12B-498B-ABF2-45BCDB69B6A3}">
  <cacheSource type="external" connectionId="1"/>
  <cacheFields count="2">
    <cacheField name="[الجدول1].[القناة البيعية].[القناة البيعية]" caption="القناة البيعية" numFmtId="0" hierarchy="7" level="1">
      <sharedItems count="2">
        <s v="الموقع الإلكتروني"/>
        <s v="تطبيق الجوال"/>
      </sharedItems>
    </cacheField>
    <cacheField name="[Measures].[‏‏مجموع إجمالي البيع]" caption="‏‏مجموع إجمالي البيع" numFmtId="0" hierarchy="11" level="32767"/>
  </cacheFields>
  <cacheHierarchies count="13">
    <cacheHierarchy uniqueName="[الجدول1].[رقم المعاملة]" caption="رقم المعاملة" attribute="1" defaultMemberUniqueName="[الجدول1].[رقم المعاملة].[All]" allUniqueName="[الجدول1].[رقم المعاملة].[All]" dimensionUniqueName="[الجدول1]" displayFolder="" count="0" memberValueDatatype="130" unbalanced="0"/>
    <cacheHierarchy uniqueName="[الجدول1].[التاريخ]" caption="التاريخ" attribute="1" time="1" defaultMemberUniqueName="[الجدول1].[التاريخ].[All]" allUniqueName="[الجدول1].[التاريخ].[All]" dimensionUniqueName="[الجدول1]" displayFolder="" count="2" memberValueDatatype="7" unbalanced="0"/>
    <cacheHierarchy uniqueName="[الجدول1].[المنتج]" caption="المنتج" attribute="1" defaultMemberUniqueName="[الجدول1].[المنتج].[All]" allUniqueName="[الجدول1].[المنتج].[All]" dimensionUniqueName="[الجدول1]" displayFolder="" count="0" memberValueDatatype="130" unbalanced="0"/>
    <cacheHierarchy uniqueName="[الجدول1].[الفئة]" caption="الفئة" attribute="1" defaultMemberUniqueName="[الجدول1].[الفئة].[All]" allUniqueName="[الجدول1].[الفئة].[All]" dimensionUniqueName="[الجدول1]" displayFolder="" count="0" memberValueDatatype="130" unbalanced="0"/>
    <cacheHierarchy uniqueName="[الجدول1].[سعر الوحدة]" caption="سعر الوحدة" attribute="1" defaultMemberUniqueName="[الجدول1].[سعر الوحدة].[All]" allUniqueName="[الجدول1].[سعر الوحدة].[All]" dimensionUniqueName="[الجدول1]" displayFolder="" count="0" memberValueDatatype="20" unbalanced="0"/>
    <cacheHierarchy uniqueName="[الجدول1].[الكمية]" caption="الكمية" attribute="1" defaultMemberUniqueName="[الجدول1].[الكمية].[All]" allUniqueName="[الجدول1].[الكمية].[All]" dimensionUniqueName="[الجدول1]" displayFolder="" count="0" memberValueDatatype="20" unbalanced="0"/>
    <cacheHierarchy uniqueName="[الجدول1].[إجمالي البيع]" caption="إجمالي البيع" attribute="1" defaultMemberUniqueName="[الجدول1].[إجمالي البيع].[All]" allUniqueName="[الجدول1].[إجمالي البيع].[All]" dimensionUniqueName="[الجدول1]" displayFolder="" count="0" memberValueDatatype="20" unbalanced="0"/>
    <cacheHierarchy uniqueName="[الجدول1].[القناة البيعية]" caption="القناة البيعية" attribute="1" defaultMemberUniqueName="[الجدول1].[القناة البيعية].[All]" allUniqueName="[الجدول1].[القناة البيعية].[All]" dimensionUniqueName="[الجدول1]" displayFolder="" count="2" memberValueDatatype="130" unbalanced="0">
      <fieldsUsage count="2">
        <fieldUsage x="-1"/>
        <fieldUsage x="0"/>
      </fieldsUsage>
    </cacheHierarchy>
    <cacheHierarchy uniqueName="[الجدول1].[الموقع الجغرافي]" caption="الموقع الجغرافي" attribute="1" defaultMemberUniqueName="[الجدول1].[الموقع الجغرافي].[All]" allUniqueName="[الجدول1].[الموقع الجغرافي].[All]" dimensionUniqueName="[الجدول1]" displayFolder="" count="2" memberValueDatatype="130" unbalanced="0"/>
    <cacheHierarchy uniqueName="[Measures].[__XL_Count الجدول1]" caption="__XL_Count الجدول1" measure="1" displayFolder="" measureGroup="الجدول1" count="0" hidden="1"/>
    <cacheHierarchy uniqueName="[Measures].[__No measures defined]" caption="__No measures defined" measure="1" displayFolder="" count="0" hidden="1"/>
    <cacheHierarchy uniqueName="[Measures].[‏‏مجموع إجمالي البيع]" caption="‏‏مجموع إجمالي البيع" measure="1" displayFolder="" measureGroup="الجدول1" count="0" oneField="1" hidden="1">
      <fieldsUsage count="1">
        <fieldUsage x="1"/>
      </fieldsUsage>
      <extLst>
        <ext xmlns:x15="http://schemas.microsoft.com/office/spreadsheetml/2010/11/main" uri="{B97F6D7D-B522-45F9-BDA1-12C45D357490}">
          <x15:cacheHierarchy aggregatedColumn="6"/>
        </ext>
      </extLst>
    </cacheHierarchy>
    <cacheHierarchy uniqueName="[مجموعة1]" caption="مجموعة1" set="1" parentSet="3"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مجموعة1]" mdx="{([الجدول1].[الفئة].&amp;[أجهزة لوحية]),([الجدول1].[الفئة].&amp;[إكسسوارات]),([الجدول1].[الفئة].&amp;[لابتوبات]),([الجدول1].[الفئة].&amp;[هواتف]),([الجدول1].[الفئة].[All])}" set="1">
      <extLst>
        <ext xmlns:x14="http://schemas.microsoft.com/office/spreadsheetml/2009/9/main" uri="{0C70D0D5-359C-4a49-802D-23BBF952B5CE}">
          <x14:calculatedMember flattenHierarchies="0" hierarchizeDistinct="0">
            <x14:tupleSet rowCount="5">
              <x14:headers>
                <x14:header uniqueName="[الجدول1].[الفئة].[الفئة]" hierarchyName="[الجدول1].[الفئة]"/>
              </x14:headers>
              <x14:rows>
                <x14:row>
                  <x14:rowItem u="[الجدول1].[الفئة].&amp;[أجهزة لوحية]" d="أجهزة لوحية"/>
                </x14:row>
                <x14:row>
                  <x14:rowItem u="[الجدول1].[الفئة].&amp;[إكسسوارات]" d="إكسسوارات"/>
                </x14:row>
                <x14:row>
                  <x14:rowItem u="[الجدول1].[الفئة].&amp;[لابتوبات]" d="لابتوبات"/>
                </x14:row>
                <x14:row>
                  <x14:rowItem u="[الجدول1].[الفئة].&amp;[هواتف]" d="هواتف"/>
                </x14:row>
                <x14:row>
                  <x14:rowItem/>
                </x14:row>
              </x14:rows>
            </x14:tupleSet>
          </x14:calculatedMember>
        </ext>
      </extLst>
    </calculatedMember>
  </calculatedMembers>
  <dimensions count="2">
    <dimension measure="1" name="Measures" uniqueName="[Measures]" caption="Measures"/>
    <dimension name="الجدول1" uniqueName="[الجدول1]" caption="الجدول1"/>
  </dimensions>
  <measureGroups count="1">
    <measureGroup name="الجدول1" caption="الجدول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hamada" refreshedDate="46069.14742199074" backgroundQuery="1" createdVersion="3" refreshedVersion="8" minRefreshableVersion="3" recordCount="0" supportSubquery="1" supportAdvancedDrill="1" xr:uid="{B2E32CFE-54CD-457A-AF7F-621473D9D454}">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Measures]" caption="Measures" attribute="1" keyAttribute="1" defaultMemberUniqueName="[Measures].[__No measures defined]" dimensionUniqueName="[Measures]" displayFolder="" measures="1" count="1" memberValueDatatype="130" unbalanced="0"/>
    <cacheHierarchy uniqueName="[الجدول1].[رقم المعاملة]" caption="رقم المعاملة" attribute="1" defaultMemberUniqueName="[الجدول1].[رقم المعاملة].[All]" allUniqueName="[الجدول1].[رقم المعاملة].[All]" dimensionUniqueName="[الجدول1]" displayFolder="" count="2" memberValueDatatype="130" unbalanced="0"/>
    <cacheHierarchy uniqueName="[الجدول1].[التاريخ]" caption="التاريخ" attribute="1" time="1" defaultMemberUniqueName="[الجدول1].[التاريخ].[All]" allUniqueName="[الجدول1].[التاريخ].[All]" dimensionUniqueName="[الجدول1]" displayFolder="" count="2" memberValueDatatype="7" unbalanced="0"/>
    <cacheHierarchy uniqueName="[الجدول1].[المنتج]" caption="المنتج" attribute="1" defaultMemberUniqueName="[الجدول1].[المنتج].[All]" allUniqueName="[الجدول1].[المنتج].[All]" dimensionUniqueName="[الجدول1]" displayFolder="" count="2" memberValueDatatype="130" unbalanced="0"/>
    <cacheHierarchy uniqueName="[الجدول1].[الفئة]" caption="الفئة" attribute="1" defaultMemberUniqueName="[الجدول1].[الفئة].[All]" allUniqueName="[الجدول1].[الفئة].[All]" dimensionUniqueName="[الجدول1]" displayFolder="" count="2" memberValueDatatype="130" unbalanced="0"/>
    <cacheHierarchy uniqueName="[الجدول1].[سعر الوحدة]" caption="سعر الوحدة" attribute="1" defaultMemberUniqueName="[الجدول1].[سعر الوحدة].[All]" allUniqueName="[الجدول1].[سعر الوحدة].[All]" dimensionUniqueName="[الجدول1]" displayFolder="" count="2" memberValueDatatype="20" unbalanced="0"/>
    <cacheHierarchy uniqueName="[الجدول1].[الكمية]" caption="الكمية" attribute="1" defaultMemberUniqueName="[الجدول1].[الكمية].[All]" allUniqueName="[الجدول1].[الكمية].[All]" dimensionUniqueName="[الجدول1]" displayFolder="" count="2" memberValueDatatype="20" unbalanced="0"/>
    <cacheHierarchy uniqueName="[الجدول1].[إجمالي البيع]" caption="إجمالي البيع" attribute="1" defaultMemberUniqueName="[الجدول1].[إجمالي البيع].[All]" allUniqueName="[الجدول1].[إجمالي البيع].[All]" dimensionUniqueName="[الجدول1]" displayFolder="" count="2" memberValueDatatype="20" unbalanced="0"/>
    <cacheHierarchy uniqueName="[الجدول1].[القناة البيعية]" caption="القناة البيعية" attribute="1" defaultMemberUniqueName="[الجدول1].[القناة البيعية].[All]" allUniqueName="[الجدول1].[القناة البيعية].[All]" dimensionUniqueName="[الجدول1]" displayFolder="" count="2" memberValueDatatype="130" unbalanced="0"/>
    <cacheHierarchy uniqueName="[الجدول1].[الموقع الجغرافي]" caption="الموقع الجغرافي" attribute="1" defaultMemberUniqueName="[الجدول1].[الموقع الجغرافي].[All]" allUniqueName="[الجدول1].[الموقع الجغرافي].[All]" dimensionUniqueName="[الجدول1]" displayFolder="" count="2" memberValueDatatype="130" unbalanced="0"/>
    <cacheHierarchy uniqueName="[Measures].[__XL_Count الجدول1]" caption="__XL_Count الجدول1" measure="1" displayFolder="" measureGroup="الجدول1" count="0" hidden="1"/>
    <cacheHierarchy uniqueName="[Measures].[__No measures defined]" caption="__No measures defined" measure="1" displayFolder="" count="0" hidden="1"/>
    <cacheHierarchy uniqueName="[Measures].[‏‏مجموع إجمالي البيع]" caption="‏‏مجموع إجمالي البيع" measure="1" displayFolder="" measureGroup="الجدول1" count="0" hidden="1">
      <extLst>
        <ext xmlns:x15="http://schemas.microsoft.com/office/spreadsheetml/2010/11/main" uri="{B97F6D7D-B522-45F9-BDA1-12C45D357490}">
          <x15:cacheHierarchy aggregatedColumn="7"/>
        </ext>
      </extLst>
    </cacheHierarchy>
    <cacheHierarchy uniqueName="[مجموعة1]" caption="مجموعة1" set="1" parentSet="4" count="0" unbalanced="0" unbalancedGroup="0">
      <extLst>
        <ext xmlns:x14="http://schemas.microsoft.com/office/spreadsheetml/2009/9/main" uri="{8CF416AD-EC4C-4aba-99F5-12A058AE0983}">
          <x14:cacheHierarchy flattenHierarchies="0" hierarchizeDistinct="0">
            <x14:setLevels count="1">
              <x14:setLevel hierarchy="4"/>
            </x14:setLevels>
          </x14:cacheHierarchy>
        </ext>
      </extLst>
    </cacheHierarchy>
  </cacheHierarchies>
  <kpis count="0"/>
  <calculatedMembers count="1">
    <calculatedMember name="[مجموعة1]" mdx="{([الجدول1].[الفئة].&amp;[أجهزة لوحية]),([الجدول1].[الفئة].&amp;[إكسسوارات]),([الجدول1].[الفئة].&amp;[لابتوبات]),([الجدول1].[الفئة].&amp;[هواتف]),([الجدول1].[الفئة].[All])}" set="1">
      <extLst>
        <ext xmlns:x14="http://schemas.microsoft.com/office/spreadsheetml/2009/9/main" uri="{0C70D0D5-359C-4a49-802D-23BBF952B5CE}">
          <x14:calculatedMember flattenHierarchies="0" hierarchizeDistinct="0">
            <x14:tupleSet rowCount="5">
              <x14:headers>
                <x14:header uniqueName="[الجدول1].[الفئة].[الفئة]" hierarchyName="[الجدول1].[الفئة]"/>
              </x14:headers>
              <x14:rows>
                <x14:row>
                  <x14:rowItem u="[الجدول1].[الفئة].&amp;[أجهزة لوحية]" d="أجهزة لوحية"/>
                </x14:row>
                <x14:row>
                  <x14:rowItem u="[الجدول1].[الفئة].&amp;[إكسسوارات]" d="إكسسوارات"/>
                </x14:row>
                <x14:row>
                  <x14:rowItem u="[الجدول1].[الفئة].&amp;[لابتوبات]" d="لابتوبات"/>
                </x14:row>
                <x14:row>
                  <x14:rowItem u="[الجدول1].[الفئة].&amp;[هواتف]" d="هواتف"/>
                </x14:row>
                <x14:row>
                  <x14:rowItem/>
                </x14:row>
              </x14:rows>
            </x14:tupleSet>
          </x14:calculatedMember>
        </ext>
      </extLst>
    </calculatedMember>
  </calculatedMembers>
  <extLst>
    <ext xmlns:x14="http://schemas.microsoft.com/office/spreadsheetml/2009/9/main" uri="{725AE2AE-9491-48be-B2B4-4EB974FC3084}">
      <x14:pivotCacheDefinition slicerData="1" pivotCacheId="2063032096"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hamada" refreshedDate="46069.147703356481" backgroundQuery="1" createdVersion="3" refreshedVersion="8" minRefreshableVersion="3" recordCount="0" supportSubquery="1" supportAdvancedDrill="1" xr:uid="{B55222D2-E643-4E74-96E6-BEDF957D32CF}">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الجدول1].[رقم المعاملة]" caption="رقم المعاملة" attribute="1" defaultMemberUniqueName="[الجدول1].[رقم المعاملة].[All]" allUniqueName="[الجدول1].[رقم المعاملة].[All]" dimensionUniqueName="[الجدول1]" displayFolder="" count="0" memberValueDatatype="130" unbalanced="0"/>
    <cacheHierarchy uniqueName="[الجدول1].[التاريخ]" caption="التاريخ" attribute="1" time="1" defaultMemberUniqueName="[الجدول1].[التاريخ].[All]" allUniqueName="[الجدول1].[التاريخ].[All]" dimensionUniqueName="[الجدول1]" displayFolder="" count="2" memberValueDatatype="7" unbalanced="0"/>
    <cacheHierarchy uniqueName="[الجدول1].[المنتج]" caption="المنتج" attribute="1" defaultMemberUniqueName="[الجدول1].[المنتج].[All]" allUniqueName="[الجدول1].[المنتج].[All]" dimensionUniqueName="[الجدول1]" displayFolder="" count="0" memberValueDatatype="130" unbalanced="0"/>
    <cacheHierarchy uniqueName="[الجدول1].[الفئة]" caption="الفئة" attribute="1" defaultMemberUniqueName="[الجدول1].[الفئة].[All]" allUniqueName="[الجدول1].[الفئة].[All]" dimensionUniqueName="[الجدول1]" displayFolder="" count="0" memberValueDatatype="130" unbalanced="0"/>
    <cacheHierarchy uniqueName="[الجدول1].[سعر الوحدة]" caption="سعر الوحدة" attribute="1" defaultMemberUniqueName="[الجدول1].[سعر الوحدة].[All]" allUniqueName="[الجدول1].[سعر الوحدة].[All]" dimensionUniqueName="[الجدول1]" displayFolder="" count="0" memberValueDatatype="20" unbalanced="0"/>
    <cacheHierarchy uniqueName="[الجدول1].[الكمية]" caption="الكمية" attribute="1" defaultMemberUniqueName="[الجدول1].[الكمية].[All]" allUniqueName="[الجدول1].[الكمية].[All]" dimensionUniqueName="[الجدول1]" displayFolder="" count="0" memberValueDatatype="20" unbalanced="0"/>
    <cacheHierarchy uniqueName="[الجدول1].[إجمالي البيع]" caption="إجمالي البيع" attribute="1" defaultMemberUniqueName="[الجدول1].[إجمالي البيع].[All]" allUniqueName="[الجدول1].[إجمالي البيع].[All]" dimensionUniqueName="[الجدول1]" displayFolder="" count="0" memberValueDatatype="20" unbalanced="0"/>
    <cacheHierarchy uniqueName="[الجدول1].[القناة البيعية]" caption="القناة البيعية" attribute="1" defaultMemberUniqueName="[الجدول1].[القناة البيعية].[All]" allUniqueName="[الجدول1].[القناة البيعية].[All]" dimensionUniqueName="[الجدول1]" displayFolder="" count="0" memberValueDatatype="130" unbalanced="0"/>
    <cacheHierarchy uniqueName="[الجدول1].[الموقع الجغرافي]" caption="الموقع الجغرافي" attribute="1" defaultMemberUniqueName="[الجدول1].[الموقع الجغرافي].[All]" allUniqueName="[الجدول1].[الموقع الجغرافي].[All]" dimensionUniqueName="[الجدول1]" displayFolder="" count="0" memberValueDatatype="130" unbalanced="0"/>
    <cacheHierarchy uniqueName="[Measures].[__XL_Count الجدول1]" caption="__XL_Count الجدول1" measure="1" displayFolder="" measureGroup="الجدول1" count="0" hidden="1"/>
    <cacheHierarchy uniqueName="[Measures].[__No measures defined]" caption="__No measures defined" measure="1" displayFolder="" count="0" hidden="1"/>
    <cacheHierarchy uniqueName="[Measures].[‏‏مجموع إجمالي البيع]" caption="‏‏مجموع إجمالي البيع" measure="1" displayFolder="" measureGroup="الجدول1" count="0" hidden="1">
      <extLst>
        <ext xmlns:x15="http://schemas.microsoft.com/office/spreadsheetml/2010/11/main" uri="{B97F6D7D-B522-45F9-BDA1-12C45D357490}">
          <x15:cacheHierarchy aggregatedColumn="6"/>
        </ext>
      </extLst>
    </cacheHierarchy>
    <cacheHierarchy uniqueName="[مجموعة1]" caption="مجموعة1" set="1"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مجموعة1]" mdx="{([الجدول1].[الفئة].&amp;[أجهزة لوحية]),([الجدول1].[الفئة].&amp;[إكسسوارات]),([الجدول1].[الفئة].&amp;[لابتوبات]),([الجدول1].[الفئة].&amp;[هواتف]),([الجدول1].[الفئة].[All])}" set="1">
      <extLst>
        <ext xmlns:x14="http://schemas.microsoft.com/office/spreadsheetml/2009/9/main" uri="{0C70D0D5-359C-4a49-802D-23BBF952B5CE}">
          <x14:calculatedMember flattenHierarchies="0" hierarchizeDistinct="0">
            <x14:tupleSet rowCount="5">
              <x14:headers>
                <x14:header uniqueName="[الجدول1].[الفئة].[الفئة]" hierarchyName="[الجدول1].[الفئة]"/>
              </x14:headers>
              <x14:rows>
                <x14:row>
                  <x14:rowItem u="[الجدول1].[الفئة].&amp;[أجهزة لوحية]" d="أجهزة لوحية"/>
                </x14:row>
                <x14:row>
                  <x14:rowItem u="[الجدول1].[الفئة].&amp;[إكسسوارات]" d="إكسسوارات"/>
                </x14:row>
                <x14:row>
                  <x14:rowItem u="[الجدول1].[الفئة].&amp;[لابتوبات]" d="لابتوبات"/>
                </x14:row>
                <x14:row>
                  <x14:rowItem u="[الجدول1].[الفئة].&amp;[هواتف]" d="هواتف"/>
                </x14:row>
                <x14:row>
                  <x14:rowItem/>
                </x14:row>
              </x14:rows>
            </x14:tupleSet>
          </x14:calculatedMember>
        </ext>
      </extLst>
    </calculatedMember>
  </calculatedMembers>
  <extLst>
    <ext xmlns:x14="http://schemas.microsoft.com/office/spreadsheetml/2009/9/main" uri="{725AE2AE-9491-48be-B2B4-4EB974FC3084}">
      <x14:pivotCacheDefinition pivotCacheId="8834044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48AC6E-5E02-4587-AB5D-7D296D18712C}" name="PivotTable4" cacheId="201" applyNumberFormats="0" applyBorderFormats="0" applyFontFormats="0" applyPatternFormats="0" applyAlignmentFormats="0" applyWidthHeightFormats="1" dataCaption="القيم" updatedVersion="8" minRefreshableVersion="5" useAutoFormatting="1" itemPrintTitles="1" createdVersion="8" indent="0" outline="1" outlineData="1" multipleFieldFilters="0" chartFormat="6" rowHeaderCaption="قناة البيع">
  <location ref="A10:B13" firstHeaderRow="1" firstDataRow="1" firstDataCol="1"/>
  <pivotFields count="2">
    <pivotField name="قناة البيع"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المبيعات" fld="1" baseField="0" baseItem="0" numFmtId="168"/>
  </dataFields>
  <formats count="2">
    <format dxfId="115">
      <pivotArea outline="0" collapsedLevelsAreSubtotals="1" fieldPosition="0"/>
    </format>
    <format dxfId="1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pivotHierarchies>
  <pivotTableStyleInfo name="PivotStyleMedium13" showRowHeaders="1" showColHeaders="1" showRowStripes="1"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ورقة عمل Microsoft Excel جديد.xlsx!الجدول1">
        <x15:activeTabTopLevelEntity name="[الجدول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41EE86-F690-432F-8BDC-FA563F199F83}" name="PivotTable3" cacheId="198" applyNumberFormats="0" applyBorderFormats="0" applyFontFormats="0" applyPatternFormats="0" applyAlignmentFormats="0" applyWidthHeightFormats="1" dataCaption="القيم" updatedVersion="8" minRefreshableVersion="5" useAutoFormatting="1" subtotalHiddenItems="1" itemPrintTitles="1" createdVersion="8" indent="0" outline="1" outlineData="1" multipleFieldFilters="0" chartFormat="6" rowHeaderCaption="الفئة">
  <location ref="A3:C8" firstHeaderRow="0" firstDataRow="1" firstDataCol="1"/>
  <pivotFields count="3">
    <pivotField dataField="1" subtotalTop="0" showAll="0" defaultSubtotal="0"/>
    <pivotField axis="axisRow" allDrilled="1" subtotalTop="0" showAll="0" dataSourceSort="1" defaultSubtotal="0">
      <items count="4">
        <item x="0"/>
        <item x="1"/>
        <item x="2"/>
        <item x="3"/>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5">
    <i>
      <x/>
    </i>
    <i>
      <x v="1"/>
    </i>
    <i>
      <x v="2"/>
    </i>
    <i>
      <x v="3"/>
    </i>
    <i t="grand">
      <x/>
    </i>
  </rowItems>
  <colFields count="1">
    <field x="-2"/>
  </colFields>
  <colItems count="2">
    <i>
      <x/>
    </i>
    <i i="1">
      <x v="1"/>
    </i>
  </colItems>
  <dataFields count="2">
    <dataField name="‏‏مجموع إجمالي البيع" fld="0" baseField="0" baseItem="0" numFmtId="168"/>
    <dataField name="نسبة المبيعات" fld="2" showDataAs="percentOfTotal" baseField="0" baseItem="0" numFmtId="10">
      <extLst>
        <ext xmlns:x14="http://schemas.microsoft.com/office/spreadsheetml/2009/9/main" uri="{E15A36E0-9728-4e99-A89B-3F7291B0FE68}">
          <x14:dataField sourceField="0" uniqueName="[__Xl2].[Measures].[‏‏مجموع إجمالي البيع]"/>
        </ext>
      </extLst>
    </dataField>
  </dataFields>
  <formats count="2">
    <format dxfId="98">
      <pivotArea outline="0" collapsedLevelsAreSubtotals="1" fieldPosition="0">
        <references count="1">
          <reference field="4294967294" count="1" selected="0">
            <x v="0"/>
          </reference>
        </references>
      </pivotArea>
    </format>
    <format dxfId="99">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13" showRowHeaders="1" showColHeaders="1" showRowStripes="1"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ورقة عمل Microsoft Excel جديد.xlsx!الجدول1">
        <x15:activeTabTopLevelEntity name="[الجدول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وقع_الجغرافي" xr10:uid="{0A5AC11A-BD16-4581-8BBB-609906425F56}" sourceName="[الجدول1].[الموقع الجغرافي]">
  <pivotTables>
    <pivotTable tabId="5" name="PivotTable3"/>
    <pivotTable tabId="5" name="PivotTable4"/>
  </pivotTables>
  <data>
    <olap pivotCacheId="2063032096">
      <levels count="2">
        <level uniqueName="[الجدول1].[الموقع الجغرافي].[(All)]" sourceCaption="(All)" count="0"/>
        <level uniqueName="[الجدول1].[الموقع الجغرافي].[الموقع الجغرافي]" sourceCaption="الموقع الجغرافي" count="7">
          <ranges>
            <range startItem="0">
              <i n="[الجدول1].[الموقع الجغرافي].&amp;[الإسكندرية]" c="الإسكندرية"/>
              <i n="[الجدول1].[الموقع الجغرافي].&amp;[الجيزة]" c="الجيزة"/>
              <i n="[الجدول1].[الموقع الجغرافي].&amp;[القاهرة]" c="القاهرة"/>
              <i n="[الجدول1].[الموقع الجغرافي].&amp;[المنصورة]" c="المنصورة"/>
              <i n="[الجدول1].[الموقع الجغرافي].&amp;[المنيا]" c="المنيا"/>
              <i n="[الجدول1].[الموقع الجغرافي].&amp;[بورسعيد]" c="بورسعيد"/>
              <i n="[الجدول1].[الموقع الجغرافي].&amp;[طنطا]" c="طنطا"/>
            </range>
          </ranges>
        </level>
      </levels>
      <selections count="1">
        <selection n="[الجدول1].[الموقع الجغرافي].[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وقع الجغرافي" xr10:uid="{46A837EC-6622-43D4-95CF-3EF84AB40EFD}" cache="مقسم_طريقة_العرض_الموقع_الجغرافي" caption="الموقع الجغرافي"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18EC26-235A-4294-BA40-8A90B379A04F}" name="الجدول1" displayName="الجدول1" ref="A1:I19" totalsRowShown="0" headerRowDxfId="117" dataDxfId="102">
  <autoFilter ref="A1:I19" xr:uid="{DB18EC26-235A-4294-BA40-8A90B379A04F}"/>
  <tableColumns count="9">
    <tableColumn id="1" xr3:uid="{78F2FF3B-3035-4530-9862-6298CD95BB85}" name="رقم المعاملة" dataDxfId="111"/>
    <tableColumn id="2" xr3:uid="{E7B9ABFC-A80E-4421-B036-93B8F8C07BEE}" name="التاريخ" dataDxfId="110"/>
    <tableColumn id="3" xr3:uid="{4C23D9BE-AC2E-4920-9C79-EA3135E5001F}" name="المنتج" dataDxfId="109"/>
    <tableColumn id="4" xr3:uid="{706B3EA6-F788-491F-8226-651F1FB6D071}" name="الفئة" dataDxfId="108"/>
    <tableColumn id="5" xr3:uid="{39906B7B-B57A-45B0-92DD-C5CD673F3CBD}" name="سعر الوحدة" dataDxfId="107" dataCellStyle="Currency"/>
    <tableColumn id="6" xr3:uid="{88BCD287-3503-48E9-BFC6-504CFA416302}" name="الكمية" dataDxfId="106"/>
    <tableColumn id="7" xr3:uid="{C69C23C7-8612-4FBC-846A-A8AB336639F6}" name="إجمالي البيع" dataDxfId="105" dataCellStyle="Currency">
      <calculatedColumnFormula>الجدول1[[#This Row],[سعر الوحدة]]*الجدول1[[#This Row],[الكمية]]</calculatedColumnFormula>
    </tableColumn>
    <tableColumn id="8" xr3:uid="{F7D210F2-D1DD-4A0D-B0C7-858404E65D90}" name="القناة البيعية" dataDxfId="104"/>
    <tableColumn id="9" xr3:uid="{78DA7187-F851-4462-8DFD-4303DA51CC8B}" name="الموقع الجغرافي" dataDxfId="10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6C03B6-FEEB-483B-9741-4CBA514F5DDA}" name="الجدول3" displayName="الجدول3" ref="A1:B5" totalsRowShown="0" headerRowDxfId="116">
  <autoFilter ref="A1:B5" xr:uid="{B46C03B6-FEEB-483B-9741-4CBA514F5DDA}"/>
  <tableColumns count="2">
    <tableColumn id="1" xr3:uid="{47A6F17F-113A-4670-9D00-60B9D413D485}" name="المؤشر الأساسي" dataDxfId="113"/>
    <tableColumn id="2" xr3:uid="{6CA53D10-F5E2-4DF6-A9E7-85D3A8B6C458}" name="القيمة" dataDxfId="1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_‏‏الخط_الزمني_التاريخ" xr10:uid="{3A692D36-1403-47F1-B43B-90969BA9612D}" sourceName="[الجدول1].[التاريخ]">
  <pivotTables>
    <pivotTable tabId="5" name="PivotTable3"/>
    <pivotTable tabId="5" name="PivotTable4"/>
  </pivotTables>
  <state minimalRefreshVersion="6" lastRefreshVersion="6" pivotCacheId="88340441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التاريخ" xr10:uid="{AFBD7BCD-A4EE-48C3-A748-2B8797928D96}" cache="_‏‏الخط_الزمني_التاريخ" caption="التاريخ" level="2"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rightToLeft="1" workbookViewId="0">
      <selection activeCell="J12" sqref="J12"/>
    </sheetView>
  </sheetViews>
  <sheetFormatPr defaultColWidth="14.625" defaultRowHeight="14.25" x14ac:dyDescent="0.2"/>
  <cols>
    <col min="3" max="3" width="19.125" customWidth="1"/>
    <col min="5" max="5" width="14.625" style="8"/>
    <col min="7" max="7" width="14.625" style="8"/>
  </cols>
  <sheetData>
    <row r="1" spans="1:9" ht="15" x14ac:dyDescent="0.2">
      <c r="A1" s="2" t="s">
        <v>0</v>
      </c>
      <c r="B1" s="2" t="s">
        <v>1</v>
      </c>
      <c r="C1" s="2" t="s">
        <v>2</v>
      </c>
      <c r="D1" s="2" t="s">
        <v>3</v>
      </c>
      <c r="E1" s="7" t="s">
        <v>4</v>
      </c>
      <c r="F1" s="2" t="s">
        <v>5</v>
      </c>
      <c r="G1" s="7" t="s">
        <v>6</v>
      </c>
      <c r="H1" s="2" t="s">
        <v>7</v>
      </c>
      <c r="I1" s="2" t="s">
        <v>8</v>
      </c>
    </row>
    <row r="2" spans="1:9" x14ac:dyDescent="0.2">
      <c r="A2" s="1" t="s">
        <v>9</v>
      </c>
      <c r="B2" s="13">
        <v>46023</v>
      </c>
      <c r="C2" s="1" t="s">
        <v>27</v>
      </c>
      <c r="D2" s="1" t="s">
        <v>28</v>
      </c>
      <c r="E2" s="10">
        <v>1200</v>
      </c>
      <c r="F2" s="1">
        <v>1</v>
      </c>
      <c r="G2" s="10">
        <f>الجدول1[[#This Row],[سعر الوحدة]]*الجدول1[[#This Row],[الكمية]]</f>
        <v>1200</v>
      </c>
      <c r="H2" s="1" t="s">
        <v>29</v>
      </c>
      <c r="I2" s="1" t="s">
        <v>30</v>
      </c>
    </row>
    <row r="3" spans="1:9" x14ac:dyDescent="0.2">
      <c r="A3" s="1" t="s">
        <v>10</v>
      </c>
      <c r="B3" s="13">
        <v>46024</v>
      </c>
      <c r="C3" s="1" t="s">
        <v>31</v>
      </c>
      <c r="D3" s="1" t="s">
        <v>32</v>
      </c>
      <c r="E3" s="10">
        <v>250</v>
      </c>
      <c r="F3" s="1">
        <v>2</v>
      </c>
      <c r="G3" s="10">
        <f>الجدول1[[#This Row],[سعر الوحدة]]*الجدول1[[#This Row],[الكمية]]</f>
        <v>500</v>
      </c>
      <c r="H3" s="1" t="s">
        <v>33</v>
      </c>
      <c r="I3" s="1" t="s">
        <v>34</v>
      </c>
    </row>
    <row r="4" spans="1:9" x14ac:dyDescent="0.2">
      <c r="A4" s="1" t="s">
        <v>11</v>
      </c>
      <c r="B4" s="13">
        <v>46026</v>
      </c>
      <c r="C4" s="1" t="s">
        <v>35</v>
      </c>
      <c r="D4" s="1" t="s">
        <v>36</v>
      </c>
      <c r="E4" s="10">
        <v>1500</v>
      </c>
      <c r="F4" s="1">
        <v>1</v>
      </c>
      <c r="G4" s="10">
        <f>الجدول1[[#This Row],[سعر الوحدة]]*الجدول1[[#This Row],[الكمية]]</f>
        <v>1500</v>
      </c>
      <c r="H4" s="1" t="s">
        <v>29</v>
      </c>
      <c r="I4" s="1" t="s">
        <v>37</v>
      </c>
    </row>
    <row r="5" spans="1:9" x14ac:dyDescent="0.2">
      <c r="A5" s="1" t="s">
        <v>12</v>
      </c>
      <c r="B5" s="13">
        <v>46027</v>
      </c>
      <c r="C5" s="1" t="s">
        <v>38</v>
      </c>
      <c r="D5" s="1" t="s">
        <v>28</v>
      </c>
      <c r="E5" s="10">
        <v>1100</v>
      </c>
      <c r="F5" s="1">
        <v>1</v>
      </c>
      <c r="G5" s="10">
        <f>الجدول1[[#This Row],[سعر الوحدة]]*الجدول1[[#This Row],[الكمية]]</f>
        <v>1100</v>
      </c>
      <c r="H5" s="1" t="s">
        <v>33</v>
      </c>
      <c r="I5" s="1" t="s">
        <v>30</v>
      </c>
    </row>
    <row r="6" spans="1:9" x14ac:dyDescent="0.2">
      <c r="A6" s="1" t="s">
        <v>13</v>
      </c>
      <c r="B6" s="13">
        <v>46030</v>
      </c>
      <c r="C6" s="1" t="s">
        <v>39</v>
      </c>
      <c r="D6" s="1" t="s">
        <v>40</v>
      </c>
      <c r="E6" s="10">
        <v>900</v>
      </c>
      <c r="F6" s="1">
        <v>1</v>
      </c>
      <c r="G6" s="10">
        <f>الجدول1[[#This Row],[سعر الوحدة]]*الجدول1[[#This Row],[الكمية]]</f>
        <v>900</v>
      </c>
      <c r="H6" s="1" t="s">
        <v>29</v>
      </c>
      <c r="I6" s="1" t="s">
        <v>41</v>
      </c>
    </row>
    <row r="7" spans="1:9" x14ac:dyDescent="0.2">
      <c r="A7" s="1" t="s">
        <v>14</v>
      </c>
      <c r="B7" s="13">
        <v>46032</v>
      </c>
      <c r="C7" s="1" t="s">
        <v>42</v>
      </c>
      <c r="D7" s="1" t="s">
        <v>32</v>
      </c>
      <c r="E7" s="10">
        <v>400</v>
      </c>
      <c r="F7" s="1">
        <v>3</v>
      </c>
      <c r="G7" s="10">
        <f>الجدول1[[#This Row],[سعر الوحدة]]*الجدول1[[#This Row],[الكمية]]</f>
        <v>1200</v>
      </c>
      <c r="H7" s="1" t="s">
        <v>33</v>
      </c>
      <c r="I7" s="1" t="s">
        <v>43</v>
      </c>
    </row>
    <row r="8" spans="1:9" x14ac:dyDescent="0.2">
      <c r="A8" s="1" t="s">
        <v>15</v>
      </c>
      <c r="B8" s="13">
        <v>46034</v>
      </c>
      <c r="C8" s="1" t="s">
        <v>27</v>
      </c>
      <c r="D8" s="1" t="s">
        <v>28</v>
      </c>
      <c r="E8" s="10">
        <v>1200</v>
      </c>
      <c r="F8" s="1">
        <v>1</v>
      </c>
      <c r="G8" s="10">
        <f>الجدول1[[#This Row],[سعر الوحدة]]*الجدول1[[#This Row],[الكمية]]</f>
        <v>1200</v>
      </c>
      <c r="H8" s="1" t="s">
        <v>29</v>
      </c>
      <c r="I8" s="1" t="s">
        <v>30</v>
      </c>
    </row>
    <row r="9" spans="1:9" x14ac:dyDescent="0.2">
      <c r="A9" s="1" t="s">
        <v>16</v>
      </c>
      <c r="B9" s="13">
        <v>46037</v>
      </c>
      <c r="C9" s="1" t="s">
        <v>44</v>
      </c>
      <c r="D9" s="1" t="s">
        <v>36</v>
      </c>
      <c r="E9" s="10">
        <v>1400</v>
      </c>
      <c r="F9" s="1">
        <v>1</v>
      </c>
      <c r="G9" s="10">
        <f>الجدول1[[#This Row],[سعر الوحدة]]*الجدول1[[#This Row],[الكمية]]</f>
        <v>1400</v>
      </c>
      <c r="H9" s="1" t="s">
        <v>29</v>
      </c>
      <c r="I9" s="1" t="s">
        <v>45</v>
      </c>
    </row>
    <row r="10" spans="1:9" x14ac:dyDescent="0.2">
      <c r="A10" s="1" t="s">
        <v>17</v>
      </c>
      <c r="B10" s="13">
        <v>46040</v>
      </c>
      <c r="C10" s="1" t="s">
        <v>31</v>
      </c>
      <c r="D10" s="1" t="s">
        <v>32</v>
      </c>
      <c r="E10" s="10">
        <v>250</v>
      </c>
      <c r="F10" s="1">
        <v>4</v>
      </c>
      <c r="G10" s="10">
        <f>الجدول1[[#This Row],[سعر الوحدة]]*الجدول1[[#This Row],[الكمية]]</f>
        <v>1000</v>
      </c>
      <c r="H10" s="1" t="s">
        <v>33</v>
      </c>
      <c r="I10" s="1" t="s">
        <v>30</v>
      </c>
    </row>
    <row r="11" spans="1:9" x14ac:dyDescent="0.2">
      <c r="A11" s="1" t="s">
        <v>18</v>
      </c>
      <c r="B11" s="13">
        <v>46042</v>
      </c>
      <c r="C11" s="1" t="s">
        <v>38</v>
      </c>
      <c r="D11" s="1" t="s">
        <v>28</v>
      </c>
      <c r="E11" s="10">
        <v>1100</v>
      </c>
      <c r="F11" s="1">
        <v>1</v>
      </c>
      <c r="G11" s="10">
        <f>الجدول1[[#This Row],[سعر الوحدة]]*الجدول1[[#This Row],[الكمية]]</f>
        <v>1100</v>
      </c>
      <c r="H11" s="1" t="s">
        <v>29</v>
      </c>
      <c r="I11" s="1" t="s">
        <v>34</v>
      </c>
    </row>
    <row r="12" spans="1:9" x14ac:dyDescent="0.2">
      <c r="A12" s="1" t="s">
        <v>19</v>
      </c>
      <c r="B12" s="13">
        <v>46044</v>
      </c>
      <c r="C12" s="1" t="s">
        <v>35</v>
      </c>
      <c r="D12" s="1" t="s">
        <v>36</v>
      </c>
      <c r="E12" s="10">
        <v>1500</v>
      </c>
      <c r="F12" s="1">
        <v>2</v>
      </c>
      <c r="G12" s="10">
        <f>الجدول1[[#This Row],[سعر الوحدة]]*الجدول1[[#This Row],[الكمية]]</f>
        <v>3000</v>
      </c>
      <c r="H12" s="1" t="s">
        <v>33</v>
      </c>
      <c r="I12" s="1" t="s">
        <v>30</v>
      </c>
    </row>
    <row r="13" spans="1:9" x14ac:dyDescent="0.2">
      <c r="A13" s="1" t="s">
        <v>20</v>
      </c>
      <c r="B13" s="13">
        <v>46047</v>
      </c>
      <c r="C13" s="1" t="s">
        <v>46</v>
      </c>
      <c r="D13" s="1" t="s">
        <v>40</v>
      </c>
      <c r="E13" s="10">
        <v>600</v>
      </c>
      <c r="F13" s="1">
        <v>1</v>
      </c>
      <c r="G13" s="10">
        <f>الجدول1[[#This Row],[سعر الوحدة]]*الجدول1[[#This Row],[الكمية]]</f>
        <v>600</v>
      </c>
      <c r="H13" s="1" t="s">
        <v>29</v>
      </c>
      <c r="I13" s="1" t="s">
        <v>37</v>
      </c>
    </row>
    <row r="14" spans="1:9" x14ac:dyDescent="0.2">
      <c r="A14" s="1" t="s">
        <v>21</v>
      </c>
      <c r="B14" s="13">
        <v>46050</v>
      </c>
      <c r="C14" s="1" t="s">
        <v>47</v>
      </c>
      <c r="D14" s="1" t="s">
        <v>28</v>
      </c>
      <c r="E14" s="10">
        <v>900</v>
      </c>
      <c r="F14" s="1">
        <v>2</v>
      </c>
      <c r="G14" s="10">
        <f>الجدول1[[#This Row],[سعر الوحدة]]*الجدول1[[#This Row],[الكمية]]</f>
        <v>1800</v>
      </c>
      <c r="H14" s="1" t="s">
        <v>33</v>
      </c>
      <c r="I14" s="1" t="s">
        <v>30</v>
      </c>
    </row>
    <row r="15" spans="1:9" x14ac:dyDescent="0.2">
      <c r="A15" s="1" t="s">
        <v>22</v>
      </c>
      <c r="B15" s="13">
        <v>46052</v>
      </c>
      <c r="C15" s="1" t="s">
        <v>48</v>
      </c>
      <c r="D15" s="1" t="s">
        <v>32</v>
      </c>
      <c r="E15" s="10">
        <v>350</v>
      </c>
      <c r="F15" s="1">
        <v>1</v>
      </c>
      <c r="G15" s="10">
        <f>الجدول1[[#This Row],[سعر الوحدة]]*الجدول1[[#This Row],[الكمية]]</f>
        <v>350</v>
      </c>
      <c r="H15" s="1" t="s">
        <v>29</v>
      </c>
      <c r="I15" s="1" t="s">
        <v>34</v>
      </c>
    </row>
    <row r="16" spans="1:9" x14ac:dyDescent="0.2">
      <c r="A16" s="1" t="s">
        <v>23</v>
      </c>
      <c r="B16" s="13">
        <v>46054</v>
      </c>
      <c r="C16" s="1" t="s">
        <v>27</v>
      </c>
      <c r="D16" s="1" t="s">
        <v>28</v>
      </c>
      <c r="E16" s="10">
        <v>1200</v>
      </c>
      <c r="F16" s="1">
        <v>1</v>
      </c>
      <c r="G16" s="10">
        <f>الجدول1[[#This Row],[سعر الوحدة]]*الجدول1[[#This Row],[الكمية]]</f>
        <v>1200</v>
      </c>
      <c r="H16" s="1" t="s">
        <v>33</v>
      </c>
      <c r="I16" s="1" t="s">
        <v>30</v>
      </c>
    </row>
    <row r="17" spans="1:9" x14ac:dyDescent="0.2">
      <c r="A17" s="1" t="s">
        <v>24</v>
      </c>
      <c r="B17" s="13">
        <v>46056</v>
      </c>
      <c r="C17" s="1" t="s">
        <v>49</v>
      </c>
      <c r="D17" s="1" t="s">
        <v>36</v>
      </c>
      <c r="E17" s="10">
        <v>2000</v>
      </c>
      <c r="F17" s="1">
        <v>1</v>
      </c>
      <c r="G17" s="10">
        <f>الجدول1[[#This Row],[سعر الوحدة]]*الجدول1[[#This Row],[الكمية]]</f>
        <v>2000</v>
      </c>
      <c r="H17" s="1" t="s">
        <v>29</v>
      </c>
      <c r="I17" s="1" t="s">
        <v>37</v>
      </c>
    </row>
    <row r="18" spans="1:9" x14ac:dyDescent="0.2">
      <c r="A18" s="1" t="s">
        <v>25</v>
      </c>
      <c r="B18" s="13">
        <v>46058</v>
      </c>
      <c r="C18" s="1" t="s">
        <v>31</v>
      </c>
      <c r="D18" s="1" t="s">
        <v>32</v>
      </c>
      <c r="E18" s="10">
        <v>250</v>
      </c>
      <c r="F18" s="1">
        <v>2</v>
      </c>
      <c r="G18" s="10">
        <f>الجدول1[[#This Row],[سعر الوحدة]]*الجدول1[[#This Row],[الكمية]]</f>
        <v>500</v>
      </c>
      <c r="H18" s="1" t="s">
        <v>33</v>
      </c>
      <c r="I18" s="1" t="s">
        <v>30</v>
      </c>
    </row>
    <row r="19" spans="1:9" x14ac:dyDescent="0.2">
      <c r="A19" s="1" t="s">
        <v>26</v>
      </c>
      <c r="B19" s="13">
        <v>46060</v>
      </c>
      <c r="C19" s="1" t="s">
        <v>50</v>
      </c>
      <c r="D19" s="1" t="s">
        <v>40</v>
      </c>
      <c r="E19" s="10">
        <v>800</v>
      </c>
      <c r="F19" s="1">
        <v>1</v>
      </c>
      <c r="G19" s="10">
        <f>الجدول1[[#This Row],[سعر الوحدة]]*الجدول1[[#This Row],[الكمية]]</f>
        <v>800</v>
      </c>
      <c r="H19" s="1" t="s">
        <v>29</v>
      </c>
      <c r="I19" s="1" t="s">
        <v>51</v>
      </c>
    </row>
  </sheetData>
  <phoneticPr fontId="2" type="noConversion"/>
  <conditionalFormatting sqref="F1:F1048576">
    <cfRule type="iconSet" priority="1">
      <iconSet iconSet="3Symbols">
        <cfvo type="percent" val="0"/>
        <cfvo type="percent" val="33"/>
        <cfvo type="percent" val="67"/>
      </iconSet>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EA43-3BB1-4CB3-B75C-5007A1AC186E}">
  <dimension ref="A3:C13"/>
  <sheetViews>
    <sheetView rightToLeft="1" tabSelected="1" workbookViewId="0">
      <selection activeCell="F27" sqref="F27"/>
    </sheetView>
  </sheetViews>
  <sheetFormatPr defaultColWidth="21.75" defaultRowHeight="14.25" x14ac:dyDescent="0.2"/>
  <cols>
    <col min="1" max="1" width="11.25" bestFit="1" customWidth="1"/>
    <col min="2" max="2" width="11" style="9" bestFit="1" customWidth="1"/>
    <col min="3" max="3" width="9.375" bestFit="1" customWidth="1"/>
  </cols>
  <sheetData>
    <row r="3" spans="1:3" x14ac:dyDescent="0.2">
      <c r="A3" s="3" t="s">
        <v>3</v>
      </c>
      <c r="B3" s="9" t="s">
        <v>60</v>
      </c>
      <c r="C3" t="s">
        <v>53</v>
      </c>
    </row>
    <row r="4" spans="1:3" x14ac:dyDescent="0.2">
      <c r="A4" s="4" t="s">
        <v>40</v>
      </c>
      <c r="B4" s="9">
        <v>2300</v>
      </c>
      <c r="C4" s="5">
        <v>0.10772833723653395</v>
      </c>
    </row>
    <row r="5" spans="1:3" x14ac:dyDescent="0.2">
      <c r="A5" s="4" t="s">
        <v>32</v>
      </c>
      <c r="B5" s="9">
        <v>3550</v>
      </c>
      <c r="C5" s="5">
        <v>0.16627634660421545</v>
      </c>
    </row>
    <row r="6" spans="1:3" x14ac:dyDescent="0.2">
      <c r="A6" s="4" t="s">
        <v>36</v>
      </c>
      <c r="B6" s="9">
        <v>7900</v>
      </c>
      <c r="C6" s="5">
        <v>0.37002341920374709</v>
      </c>
    </row>
    <row r="7" spans="1:3" x14ac:dyDescent="0.2">
      <c r="A7" s="4" t="s">
        <v>28</v>
      </c>
      <c r="B7" s="9">
        <v>7600</v>
      </c>
      <c r="C7" s="5">
        <v>0.35597189695550352</v>
      </c>
    </row>
    <row r="8" spans="1:3" x14ac:dyDescent="0.2">
      <c r="A8" s="4" t="s">
        <v>52</v>
      </c>
      <c r="B8" s="9">
        <v>21350</v>
      </c>
      <c r="C8" s="5">
        <v>1</v>
      </c>
    </row>
    <row r="10" spans="1:3" x14ac:dyDescent="0.2">
      <c r="A10" s="3" t="s">
        <v>61</v>
      </c>
      <c r="B10" s="9" t="s">
        <v>62</v>
      </c>
    </row>
    <row r="11" spans="1:3" x14ac:dyDescent="0.2">
      <c r="A11" s="4" t="s">
        <v>29</v>
      </c>
      <c r="B11" s="9">
        <v>11050</v>
      </c>
    </row>
    <row r="12" spans="1:3" x14ac:dyDescent="0.2">
      <c r="A12" s="4" t="s">
        <v>33</v>
      </c>
      <c r="B12" s="9">
        <v>10300</v>
      </c>
    </row>
    <row r="13" spans="1:3" x14ac:dyDescent="0.2">
      <c r="A13" s="4" t="s">
        <v>52</v>
      </c>
      <c r="B13" s="9">
        <v>21350</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20359-5C63-4B97-8F88-B29DCD0A67B1}">
  <dimension ref="A1:B5"/>
  <sheetViews>
    <sheetView rightToLeft="1" workbookViewId="0">
      <selection activeCell="B11" sqref="B11"/>
    </sheetView>
  </sheetViews>
  <sheetFormatPr defaultColWidth="16.75" defaultRowHeight="14.25" x14ac:dyDescent="0.2"/>
  <cols>
    <col min="1" max="1" width="22.5" customWidth="1"/>
    <col min="2" max="2" width="16.75" style="12"/>
  </cols>
  <sheetData>
    <row r="1" spans="1:2" ht="15" x14ac:dyDescent="0.2">
      <c r="A1" s="2" t="s">
        <v>54</v>
      </c>
      <c r="B1" s="2" t="s">
        <v>55</v>
      </c>
    </row>
    <row r="2" spans="1:2" ht="15" x14ac:dyDescent="0.2">
      <c r="A2" s="6" t="s">
        <v>56</v>
      </c>
      <c r="B2" s="10">
        <f>SUM(Raw_Data!G2:G19)</f>
        <v>21350</v>
      </c>
    </row>
    <row r="3" spans="1:2" ht="15" x14ac:dyDescent="0.2">
      <c r="A3" s="6" t="s">
        <v>57</v>
      </c>
      <c r="B3" s="1">
        <f>COUNTA(Raw_Data!A:A)</f>
        <v>19</v>
      </c>
    </row>
    <row r="4" spans="1:2" ht="15" x14ac:dyDescent="0.2">
      <c r="A4" s="6" t="s">
        <v>58</v>
      </c>
      <c r="B4" s="10">
        <f>B2/B3</f>
        <v>1123.6842105263158</v>
      </c>
    </row>
    <row r="5" spans="1:2" ht="15" x14ac:dyDescent="0.2">
      <c r="A5" s="6" t="s">
        <v>59</v>
      </c>
      <c r="B5" s="11">
        <v>3.2000000000000001E-2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Raw_Data</vt:lpstr>
      <vt:lpstr>Pivot_Tables</vt:lpstr>
      <vt:lpstr>Dashboard_Logic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hamada</dc:creator>
  <cp:lastModifiedBy>mostafa hamada</cp:lastModifiedBy>
  <cp:lastPrinted>2026-02-16T01:15:38Z</cp:lastPrinted>
  <dcterms:created xsi:type="dcterms:W3CDTF">2015-06-05T18:17:20Z</dcterms:created>
  <dcterms:modified xsi:type="dcterms:W3CDTF">2026-02-16T01:47:08Z</dcterms:modified>
</cp:coreProperties>
</file>